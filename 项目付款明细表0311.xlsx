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费用明细表" sheetId="4" r:id="rId1"/>
    <sheet name="项目垃圾处理费用" sheetId="12" r:id="rId2"/>
    <sheet name="费用类别" sheetId="13" r:id="rId3"/>
  </sheets>
  <definedNames>
    <definedName name="_xlnm._FilterDatabase" localSheetId="0" hidden="1">费用明细表!$A$2:$F$74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<sst xmlns="http://schemas.openxmlformats.org/spreadsheetml/2006/main" count="390" uniqueCount="197">
  <si>
    <t>费用明细表</t>
  </si>
  <si>
    <t>费用月份</t>
  </si>
  <si>
    <t>费用日期</t>
  </si>
  <si>
    <t>费用事项</t>
  </si>
  <si>
    <t>金额</t>
  </si>
  <si>
    <t>分类</t>
  </si>
  <si>
    <t>备注</t>
  </si>
  <si>
    <t>2025.08.14</t>
  </si>
  <si>
    <t>报销招待费、交通费、办公家具（办公桌椅、遮阳帘，宿舍空调及热水器等）、办公维护费（网络电线安装等）</t>
  </si>
  <si>
    <t>行政费用</t>
  </si>
  <si>
    <t>报销购床、床垫、交通费及快递费</t>
  </si>
  <si>
    <t>宿舍后勤</t>
  </si>
  <si>
    <t>2025.08.19</t>
  </si>
  <si>
    <t>报销办公用品、招待服务费(纸巾、烧水壶等）</t>
  </si>
  <si>
    <t>报销招待费（茶叶）</t>
  </si>
  <si>
    <t>招待交通</t>
  </si>
  <si>
    <t>2025.08.21</t>
  </si>
  <si>
    <t>购办公饮用水费用（瓶装水24瓶*2件）</t>
  </si>
  <si>
    <t>报销招待费（聚餐）</t>
  </si>
  <si>
    <t>报销交通费、招待费（临时项目投标费用，冲借款）</t>
  </si>
  <si>
    <t>投标费用，冲借款</t>
  </si>
  <si>
    <t>2025.08.29</t>
  </si>
  <si>
    <t>报销招待费（酒水、总部领导、执法队）</t>
  </si>
  <si>
    <t>报销办公用品、办公家具(资料袋、文件收纳夹、文件盒、文件收纳册、折叠凳*15张及宿舍桌椅等）</t>
  </si>
  <si>
    <t>2025.08.31</t>
  </si>
  <si>
    <t>购办公饮用水费用（饮用水6桶）20元/桶</t>
  </si>
  <si>
    <t>2025.09.03</t>
  </si>
  <si>
    <t>报销办公用品（安全帽）</t>
  </si>
  <si>
    <t>2025.09.16</t>
  </si>
  <si>
    <t>报销快递费、办公用品（烟灰缸、印章、印泥、专业标识）</t>
  </si>
  <si>
    <t>报销招待费</t>
  </si>
  <si>
    <t>2025.10.09</t>
  </si>
  <si>
    <t>报销物资采购费（五金材料）</t>
  </si>
  <si>
    <t>材料采购</t>
  </si>
  <si>
    <t>2025.10.16</t>
  </si>
  <si>
    <t>报销办公用品、快递费、停车费（安全帽、剪刀、水、排插、拖把、一次性水杯、垃圾桶、垃圾袋、扫把扫帚等）</t>
  </si>
  <si>
    <t>报销办公家具（空调、办公桌）</t>
  </si>
  <si>
    <t>报销叉车费用</t>
  </si>
  <si>
    <t>维修费用</t>
  </si>
  <si>
    <t>2025.10.20</t>
  </si>
  <si>
    <t>报销办公用品（劳保鞋）、打印费</t>
  </si>
  <si>
    <t>报销项目宽带网络服务费</t>
  </si>
  <si>
    <t>报销物资采购费（五金材料、液压油）</t>
  </si>
  <si>
    <t>2025.10.21</t>
  </si>
  <si>
    <t>报销物资采购费（五金材料：锁具、螺丝、钻孔等）</t>
  </si>
  <si>
    <t>报销空调安装费</t>
  </si>
  <si>
    <t>报销快递费、办公用品（瓶装水24瓶*1件）</t>
  </si>
  <si>
    <t>报销办公用品添置费（货架）</t>
  </si>
  <si>
    <t>报销物资采购费、快递费</t>
  </si>
  <si>
    <t>2025.10.31</t>
  </si>
  <si>
    <t>报销招待服务费（专家费）</t>
  </si>
  <si>
    <t>报销快递费、招待服务费（茶叶）</t>
  </si>
  <si>
    <t>账扣果蔬垃圾处理项目10月27日-10月31日电费</t>
  </si>
  <si>
    <t>能源费用</t>
  </si>
  <si>
    <t>2025.11.14</t>
  </si>
  <si>
    <t>报销物资采购费（五金材料、租赁费、运费）</t>
  </si>
  <si>
    <t>报销快递费、办公用品（喷药器、农药*2、消防巡视卡、警示牌）</t>
  </si>
  <si>
    <t>2025.11.17</t>
  </si>
  <si>
    <t>报销消防器材费用</t>
  </si>
  <si>
    <t>2025.11.30</t>
  </si>
  <si>
    <t>账扣果蔬垃圾处理项目11月份电费</t>
  </si>
  <si>
    <t>2025.12.01</t>
  </si>
  <si>
    <t>报销项目垃圾处理费</t>
  </si>
  <si>
    <t>固渣处理费</t>
  </si>
  <si>
    <t xml:space="preserve">报销宿舍家具购买费（热水器、空调、床+床垫、椅子、茶几、洗衣机、衣柜）
</t>
  </si>
  <si>
    <t>2025.12.02</t>
  </si>
  <si>
    <t>报销物资采购费（五金材料、电热水器+空调安装费、减速带、亚克力标识牌、仪表检测仪、口罩）</t>
  </si>
  <si>
    <t>2025.12.08</t>
  </si>
  <si>
    <t>报销交通费、快递费、招待服务费</t>
  </si>
  <si>
    <t>2025.12.09</t>
  </si>
  <si>
    <t>报销物资采购费（洗手盆、安全帽）</t>
  </si>
  <si>
    <t>2025.12.17</t>
  </si>
  <si>
    <t>报销招待服务费、交通费（水果、9,10月份外驻人员餐费、交通费、桶装水）</t>
  </si>
  <si>
    <t>2025.12.22</t>
  </si>
  <si>
    <t>报销招待服务费、物资采购费（车牌识别相机费）</t>
  </si>
  <si>
    <t>报销吊车、货车费用</t>
  </si>
  <si>
    <t>2025.12.29</t>
  </si>
  <si>
    <t>报销招待服务费、快递费、打印费、物资采购费（微型消防站玻璃、玻璃瓶）</t>
  </si>
  <si>
    <t>还备用金27223.51</t>
  </si>
  <si>
    <t>2025.12.31</t>
  </si>
  <si>
    <t>账扣果蔬垃圾处理项目12月份电费</t>
  </si>
  <si>
    <t>2026.1.7</t>
  </si>
  <si>
    <t>报销快递费、招牌制作费、物资采购费</t>
  </si>
  <si>
    <t>2026.1.13</t>
  </si>
  <si>
    <t>报销维修费用（盘龙）、快递费、交通费（盘龙）、办公用品添置费（刻章、项目地磅单打印机墨盒）</t>
  </si>
  <si>
    <t>2026.1.16</t>
  </si>
  <si>
    <t>报销快递费、交通费、物资采购费(磁吸标识牌、按压塑料瓶、防撞条、除臭剂、杀虫剂、限位开关、五金材料）</t>
  </si>
  <si>
    <t>2026.1.21</t>
  </si>
  <si>
    <t>付隔膜泵采购合同费用</t>
  </si>
  <si>
    <t>2026.1.27</t>
  </si>
  <si>
    <t>报销快递费、招待服务费、打印费、交通费</t>
  </si>
  <si>
    <t>2026.1.30</t>
  </si>
  <si>
    <t>报销物资采购费</t>
  </si>
  <si>
    <t>2026.1.31</t>
  </si>
  <si>
    <t>账扣果蔬垃圾处理项目1月份电费</t>
  </si>
  <si>
    <t>2026.2.2</t>
  </si>
  <si>
    <t>报销招待服务费、快递费、维修费用、交通费</t>
  </si>
  <si>
    <t>ETC缴费</t>
  </si>
  <si>
    <t>运输费用</t>
  </si>
  <si>
    <t>叉车搬运费</t>
  </si>
  <si>
    <t>2026.2.5</t>
  </si>
  <si>
    <t>报销招待服务费、交通费、快递费</t>
  </si>
  <si>
    <t>广告牌制作费</t>
  </si>
  <si>
    <t>检测费</t>
  </si>
  <si>
    <t>报销检测费（黄）</t>
  </si>
  <si>
    <t>2026.2.9</t>
  </si>
  <si>
    <t>报销ETC工本费、快递费、ETC充值、维修费用、物资采购费</t>
  </si>
  <si>
    <t>2026.3.2</t>
  </si>
  <si>
    <t>快递费303.56</t>
  </si>
  <si>
    <t>报销检测费（黄）860</t>
  </si>
  <si>
    <t>交通费3821（黄）</t>
  </si>
  <si>
    <t>ETC充值（冲备用金；原借款100000、剩余85000）</t>
  </si>
  <si>
    <t>冲备用金</t>
  </si>
  <si>
    <t>2026.3.4</t>
  </si>
  <si>
    <t>付勾臂车加气费</t>
  </si>
  <si>
    <t>2026.3.5</t>
  </si>
  <si>
    <t>报销维修费用380、160（打黄油）</t>
  </si>
  <si>
    <t>交通费570（过路车费 有发票）、招待费（208 货拉拉运费替票）</t>
  </si>
  <si>
    <t>食材购买费6351.7</t>
  </si>
  <si>
    <t>ETC充值费10000</t>
  </si>
  <si>
    <t>2026.3.11</t>
  </si>
  <si>
    <t>报销物资采购（冰箱220.97 第三方监管宿舍）；冲备用金：原借款85000、剩余68291.46</t>
  </si>
  <si>
    <t>合计</t>
  </si>
  <si>
    <t>项目垃圾处理费</t>
  </si>
  <si>
    <t>收款方</t>
  </si>
  <si>
    <t>2025.11.24</t>
  </si>
  <si>
    <t>唐双双</t>
  </si>
  <si>
    <t>11.17、19、22、23、24</t>
  </si>
  <si>
    <t>2025.11.27</t>
  </si>
  <si>
    <t>11.25-11.27</t>
  </si>
  <si>
    <t>叶桂妹</t>
  </si>
  <si>
    <t>11.19-11.23</t>
  </si>
  <si>
    <t>11.28-12.01</t>
  </si>
  <si>
    <t>2025.12.05</t>
  </si>
  <si>
    <t>12.02-12.04</t>
  </si>
  <si>
    <t>12.05-12.06,12.08</t>
  </si>
  <si>
    <t>2025.12.11</t>
  </si>
  <si>
    <t>12.09-12.11</t>
  </si>
  <si>
    <t>2025.12.12</t>
  </si>
  <si>
    <t>11.24-11.30</t>
  </si>
  <si>
    <t>李岳桦</t>
  </si>
  <si>
    <t>11.12,11.17-11.30</t>
  </si>
  <si>
    <t>2025.12.16</t>
  </si>
  <si>
    <t>12.11-12.15</t>
  </si>
  <si>
    <t>2025.12.18</t>
  </si>
  <si>
    <t>12.16-12.18</t>
  </si>
  <si>
    <t>2025.12.25</t>
  </si>
  <si>
    <t>陈亚玲</t>
  </si>
  <si>
    <t>11.20-11.30</t>
  </si>
  <si>
    <t>12.19-12.21</t>
  </si>
  <si>
    <t>2026.1.12</t>
  </si>
  <si>
    <t>1.1-1.5（钩箱）</t>
  </si>
  <si>
    <t>深圳市天楹环保能源有限公司</t>
  </si>
  <si>
    <t>2025.12.28</t>
  </si>
  <si>
    <t>1.6-1.11</t>
  </si>
  <si>
    <t>2026.1.14</t>
  </si>
  <si>
    <t>深圳广业环保再生能源有限公司</t>
  </si>
  <si>
    <t>2026.1.15</t>
  </si>
  <si>
    <t>12.1-12.15</t>
  </si>
  <si>
    <t>2026.1.19</t>
  </si>
  <si>
    <t>1.12-1.18</t>
  </si>
  <si>
    <t>2026.1.26</t>
  </si>
  <si>
    <t>1.19-1.25</t>
  </si>
  <si>
    <t>2026.1.29</t>
  </si>
  <si>
    <t>12.01-12.31</t>
  </si>
  <si>
    <t>12.16-12.31</t>
  </si>
  <si>
    <t>吴少佩</t>
  </si>
  <si>
    <t>11.28-29,12.01-12.31</t>
  </si>
  <si>
    <t>1.26-2.1</t>
  </si>
  <si>
    <t>2026.2.4</t>
  </si>
  <si>
    <t>1.2-1.30</t>
  </si>
  <si>
    <t>2.2-2.8</t>
  </si>
  <si>
    <t>2026.2.10</t>
  </si>
  <si>
    <t>台山市台城湛镁运输经营部</t>
  </si>
  <si>
    <t>1.25、1.29</t>
  </si>
  <si>
    <t>有机酸处理费</t>
  </si>
  <si>
    <t>深水</t>
  </si>
  <si>
    <t>东莞市田利赞有机生物肥有限公司</t>
  </si>
  <si>
    <t>2026.2月份</t>
  </si>
  <si>
    <t>2.24-3.4</t>
  </si>
  <si>
    <t>2026.3.9</t>
  </si>
  <si>
    <t>3.5-3.8</t>
  </si>
  <si>
    <t>2026年1月份</t>
  </si>
  <si>
    <t>说明</t>
  </si>
  <si>
    <t>五金、管件、电气材料</t>
  </si>
  <si>
    <t>检测、维修材料或维修外协</t>
  </si>
  <si>
    <t>渣料外运、堆肥处理</t>
  </si>
  <si>
    <t>有机酸外运费用</t>
  </si>
  <si>
    <t>ETC充值、加气、加油、充电</t>
  </si>
  <si>
    <t>电费、水费、燃气</t>
  </si>
  <si>
    <t>办公用品、网络、快递</t>
  </si>
  <si>
    <t>食材、宿舍用品、生活设施</t>
  </si>
  <si>
    <t>聚餐、差旅、交通</t>
  </si>
  <si>
    <t>人工费用</t>
  </si>
  <si>
    <t>工资、社保</t>
  </si>
  <si>
    <t>其他</t>
  </si>
  <si>
    <t>无法归类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</si>
</sst>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8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b/>
      <sz val="16"/>
      <color theme="1"/>
      <name val="宋体"/>
      <charset val="134"/>
      <scheme val="minor"/>
    </font>
    <font>
      <b/>
      <sz val="11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rgb="FF000000"/>
      <name val="宋体"/>
      <charset val="134"/>
    </font>
    <font>
      <b/>
      <sz val="18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3" borderId="1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14" applyNumberFormat="0" applyAlignment="0" applyProtection="0">
      <alignment vertical="center"/>
    </xf>
    <xf numFmtId="0" fontId="18" fillId="5" borderId="15" applyNumberFormat="0" applyAlignment="0" applyProtection="0">
      <alignment vertical="center"/>
    </xf>
    <xf numFmtId="0" fontId="19" fillId="5" borderId="14" applyNumberFormat="0" applyAlignment="0" applyProtection="0">
      <alignment vertical="center"/>
    </xf>
    <xf numFmtId="0" fontId="20" fillId="6" borderId="16" applyNumberFormat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2" fillId="0" borderId="18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0" fillId="0" borderId="0"/>
    <xf numFmtId="43" fontId="0" fillId="0" borderId="0" applyFont="0" applyFill="0" applyBorder="0" applyAlignment="0" applyProtection="0">
      <alignment vertical="center"/>
    </xf>
  </cellStyleXfs>
  <cellXfs count="6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0" borderId="4" xfId="0" applyFont="1" applyBorder="1" applyAlignment="1">
      <alignment horizontal="left" vertical="center"/>
    </xf>
    <xf numFmtId="0" fontId="3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57" fontId="0" fillId="0" borderId="4" xfId="0" applyNumberFormat="1" applyBorder="1" applyAlignment="1">
      <alignment horizontal="left" vertical="center"/>
    </xf>
    <xf numFmtId="0" fontId="0" fillId="0" borderId="4" xfId="0" applyBorder="1">
      <alignment vertical="center"/>
    </xf>
    <xf numFmtId="4" fontId="0" fillId="0" borderId="4" xfId="0" applyNumberFormat="1" applyBorder="1">
      <alignment vertical="center"/>
    </xf>
    <xf numFmtId="43" fontId="0" fillId="0" borderId="4" xfId="0" applyNumberFormat="1" applyBorder="1">
      <alignment vertical="center"/>
    </xf>
    <xf numFmtId="0" fontId="0" fillId="0" borderId="0" xfId="0" applyAlignment="1">
      <alignment horizontal="center" vertical="center"/>
    </xf>
    <xf numFmtId="0" fontId="5" fillId="0" borderId="4" xfId="0" applyFont="1" applyBorder="1">
      <alignment vertical="center"/>
    </xf>
    <xf numFmtId="4" fontId="5" fillId="0" borderId="4" xfId="0" applyNumberFormat="1" applyFont="1" applyBorder="1">
      <alignment vertical="center"/>
    </xf>
    <xf numFmtId="176" fontId="0" fillId="0" borderId="4" xfId="0" applyNumberFormat="1" applyBorder="1">
      <alignment vertical="center"/>
    </xf>
    <xf numFmtId="0" fontId="0" fillId="0" borderId="4" xfId="0" applyFont="1" applyBorder="1" applyAlignment="1">
      <alignment horizontal="left" vertical="center"/>
    </xf>
    <xf numFmtId="4" fontId="0" fillId="0" borderId="4" xfId="0" applyNumberFormat="1" applyFont="1" applyBorder="1">
      <alignment vertical="center"/>
    </xf>
    <xf numFmtId="0" fontId="0" fillId="0" borderId="4" xfId="0" applyFont="1" applyBorder="1">
      <alignment vertical="center"/>
    </xf>
    <xf numFmtId="4" fontId="0" fillId="0" borderId="4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" fontId="4" fillId="0" borderId="4" xfId="0" applyNumberFormat="1" applyFont="1" applyBorder="1">
      <alignment vertical="center"/>
    </xf>
    <xf numFmtId="4" fontId="4" fillId="0" borderId="0" xfId="0" applyNumberFormat="1" applyFont="1">
      <alignment vertical="center"/>
    </xf>
    <xf numFmtId="0" fontId="0" fillId="2" borderId="0" xfId="0" applyFill="1">
      <alignment vertical="center"/>
    </xf>
    <xf numFmtId="0" fontId="0" fillId="0" borderId="0" xfId="0" applyFill="1" applyBorder="1">
      <alignment vertical="center"/>
    </xf>
    <xf numFmtId="0" fontId="0" fillId="2" borderId="0" xfId="0" applyFill="1" applyBorder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vertical="center" wrapText="1"/>
    </xf>
    <xf numFmtId="43" fontId="0" fillId="0" borderId="4" xfId="0" applyNumberFormat="1" applyBorder="1" applyAlignment="1">
      <alignment horizontal="center" vertical="center"/>
    </xf>
    <xf numFmtId="176" fontId="0" fillId="0" borderId="4" xfId="0" applyNumberFormat="1" applyBorder="1" applyAlignment="1">
      <alignment horizontal="right" vertical="center"/>
    </xf>
    <xf numFmtId="0" fontId="0" fillId="0" borderId="5" xfId="0" applyFont="1" applyBorder="1" applyAlignment="1">
      <alignment horizontal="left" vertical="center"/>
    </xf>
    <xf numFmtId="0" fontId="0" fillId="0" borderId="6" xfId="0" applyFont="1" applyBorder="1" applyAlignment="1">
      <alignment horizontal="left" vertical="center" wrapText="1"/>
    </xf>
    <xf numFmtId="43" fontId="0" fillId="0" borderId="7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Font="1" applyBorder="1" applyAlignment="1">
      <alignment horizontal="left" vertical="center"/>
    </xf>
    <xf numFmtId="43" fontId="0" fillId="0" borderId="4" xfId="0" applyNumberFormat="1" applyFont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7" xfId="0" applyFont="1" applyBorder="1" applyAlignment="1">
      <alignment horizontal="center" vertical="center"/>
    </xf>
    <xf numFmtId="57" fontId="0" fillId="2" borderId="4" xfId="0" applyNumberFormat="1" applyFill="1" applyBorder="1" applyAlignment="1">
      <alignment horizontal="left" vertical="center"/>
    </xf>
    <xf numFmtId="0" fontId="0" fillId="2" borderId="7" xfId="0" applyFon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left" vertical="center"/>
    </xf>
    <xf numFmtId="43" fontId="0" fillId="2" borderId="4" xfId="0" applyNumberFormat="1" applyFont="1" applyFill="1" applyBorder="1" applyAlignment="1">
      <alignment horizontal="center" vertical="center"/>
    </xf>
    <xf numFmtId="43" fontId="0" fillId="2" borderId="4" xfId="0" applyNumberFormat="1" applyFill="1" applyBorder="1">
      <alignment vertical="center"/>
    </xf>
    <xf numFmtId="0" fontId="0" fillId="2" borderId="4" xfId="0" applyFill="1" applyBorder="1">
      <alignment vertical="center"/>
    </xf>
    <xf numFmtId="0" fontId="0" fillId="0" borderId="4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left" vertical="center"/>
    </xf>
    <xf numFmtId="43" fontId="0" fillId="0" borderId="4" xfId="0" applyNumberFormat="1" applyFont="1" applyFill="1" applyBorder="1" applyAlignment="1">
      <alignment horizontal="center" vertical="center"/>
    </xf>
    <xf numFmtId="0" fontId="0" fillId="0" borderId="4" xfId="0" applyFill="1" applyBorder="1">
      <alignment vertical="center"/>
    </xf>
    <xf numFmtId="0" fontId="0" fillId="2" borderId="7" xfId="0" applyFont="1" applyFill="1" applyBorder="1" applyAlignment="1">
      <alignment horizontal="center" vertical="center"/>
    </xf>
    <xf numFmtId="0" fontId="0" fillId="0" borderId="7" xfId="0" applyFont="1" applyFill="1" applyBorder="1" applyAlignment="1">
      <alignment horizontal="center" vertical="center"/>
    </xf>
    <xf numFmtId="43" fontId="8" fillId="0" borderId="4" xfId="0" applyNumberFormat="1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left" vertical="center" wrapText="1"/>
    </xf>
    <xf numFmtId="0" fontId="0" fillId="0" borderId="8" xfId="0" applyFon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  <xf numFmtId="0" fontId="0" fillId="2" borderId="0" xfId="0" applyFont="1" applyFill="1" applyBorder="1" applyAlignment="1">
      <alignment horizontal="center" vertical="center"/>
    </xf>
    <xf numFmtId="0" fontId="0" fillId="2" borderId="0" xfId="0" applyFont="1" applyFill="1" applyBorder="1" applyAlignment="1">
      <alignment horizontal="left" vertical="center" wrapText="1"/>
    </xf>
    <xf numFmtId="43" fontId="0" fillId="2" borderId="0" xfId="0" applyNumberFormat="1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left" vertical="center"/>
    </xf>
    <xf numFmtId="0" fontId="0" fillId="2" borderId="0" xfId="0" applyFont="1" applyFill="1" applyBorder="1" applyAlignment="1">
      <alignment horizontal="left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43" fontId="4" fillId="0" borderId="8" xfId="0" applyNumberFormat="1" applyFont="1" applyBorder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  <cellStyle name="千位分隔 3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6"/>
  <sheetViews>
    <sheetView tabSelected="1" topLeftCell="A24" workbookViewId="0">
      <selection activeCell="C55" sqref="C55"/>
    </sheetView>
  </sheetViews>
  <sheetFormatPr defaultColWidth="9" defaultRowHeight="13.5" outlineLevelCol="5"/>
  <cols>
    <col min="1" max="2" width="11.4416666666667" customWidth="1"/>
    <col min="3" max="3" width="67.5416666666667" customWidth="1"/>
    <col min="4" max="5" width="16" style="14" customWidth="1"/>
    <col min="6" max="6" width="17.625" customWidth="1"/>
  </cols>
  <sheetData>
    <row r="1" ht="22.5" spans="1:6">
      <c r="A1" s="29"/>
      <c r="B1" s="29" t="s">
        <v>0</v>
      </c>
      <c r="C1" s="30"/>
      <c r="D1" s="30"/>
      <c r="E1" s="30"/>
    </row>
    <row r="2" spans="1:6">
      <c r="A2" s="7" t="s">
        <v>1</v>
      </c>
      <c r="B2" s="7" t="s">
        <v>2</v>
      </c>
      <c r="C2" s="7" t="s">
        <v>3</v>
      </c>
      <c r="D2" s="8" t="s">
        <v>4</v>
      </c>
      <c r="E2" s="9" t="s">
        <v>5</v>
      </c>
      <c r="F2" s="9" t="s">
        <v>6</v>
      </c>
    </row>
    <row r="3" ht="27" spans="1:6">
      <c r="A3" s="10">
        <v>45870</v>
      </c>
      <c r="B3" s="31" t="s">
        <v>7</v>
      </c>
      <c r="C3" s="32" t="s">
        <v>8</v>
      </c>
      <c r="D3" s="13">
        <v>8076.4</v>
      </c>
      <c r="E3" s="13" t="s">
        <v>9</v>
      </c>
      <c r="F3" s="11"/>
    </row>
    <row r="4" spans="1:6">
      <c r="A4" s="10">
        <v>45870</v>
      </c>
      <c r="B4" s="31" t="s">
        <v>7</v>
      </c>
      <c r="C4" s="31" t="s">
        <v>10</v>
      </c>
      <c r="D4" s="33">
        <v>583.17</v>
      </c>
      <c r="E4" s="13" t="s">
        <v>11</v>
      </c>
      <c r="F4" s="11"/>
    </row>
    <row r="5" spans="1:6">
      <c r="A5" s="10">
        <v>45870</v>
      </c>
      <c r="B5" s="31" t="s">
        <v>12</v>
      </c>
      <c r="C5" s="31" t="s">
        <v>13</v>
      </c>
      <c r="D5" s="33">
        <v>262.24</v>
      </c>
      <c r="E5" s="13" t="s">
        <v>9</v>
      </c>
      <c r="F5" s="11"/>
    </row>
    <row r="6" spans="1:6">
      <c r="A6" s="10">
        <v>45870</v>
      </c>
      <c r="B6" s="31" t="s">
        <v>12</v>
      </c>
      <c r="C6" s="31" t="s">
        <v>14</v>
      </c>
      <c r="D6" s="33">
        <v>1200</v>
      </c>
      <c r="E6" s="13" t="s">
        <v>15</v>
      </c>
      <c r="F6" s="11"/>
    </row>
    <row r="7" spans="1:6">
      <c r="A7" s="10">
        <v>45870</v>
      </c>
      <c r="B7" s="31" t="s">
        <v>16</v>
      </c>
      <c r="C7" s="31" t="s">
        <v>17</v>
      </c>
      <c r="D7" s="33">
        <v>49</v>
      </c>
      <c r="E7" s="13" t="s">
        <v>9</v>
      </c>
      <c r="F7" s="11"/>
    </row>
    <row r="8" spans="1:6">
      <c r="A8" s="10">
        <v>45870</v>
      </c>
      <c r="B8" s="31" t="s">
        <v>16</v>
      </c>
      <c r="C8" s="31" t="s">
        <v>18</v>
      </c>
      <c r="D8" s="33">
        <v>3012</v>
      </c>
      <c r="E8" s="13" t="s">
        <v>15</v>
      </c>
      <c r="F8" s="11"/>
    </row>
    <row r="9" spans="1:6">
      <c r="A9" s="10">
        <v>45870</v>
      </c>
      <c r="B9" s="31" t="s">
        <v>16</v>
      </c>
      <c r="C9" s="11" t="s">
        <v>19</v>
      </c>
      <c r="D9" s="13">
        <v>6092</v>
      </c>
      <c r="E9" s="13" t="s">
        <v>15</v>
      </c>
      <c r="F9" s="11" t="s">
        <v>20</v>
      </c>
    </row>
    <row r="10" spans="1:6">
      <c r="A10" s="10">
        <v>45870</v>
      </c>
      <c r="B10" s="31" t="s">
        <v>16</v>
      </c>
      <c r="C10" s="11" t="s">
        <v>19</v>
      </c>
      <c r="D10" s="13">
        <v>8908</v>
      </c>
      <c r="E10" s="13" t="s">
        <v>15</v>
      </c>
      <c r="F10" s="11" t="s">
        <v>20</v>
      </c>
    </row>
    <row r="11" spans="1:6">
      <c r="A11" s="10">
        <v>45870</v>
      </c>
      <c r="B11" s="11" t="s">
        <v>21</v>
      </c>
      <c r="C11" s="11" t="s">
        <v>22</v>
      </c>
      <c r="D11" s="33">
        <v>8056</v>
      </c>
      <c r="E11" s="13" t="s">
        <v>15</v>
      </c>
      <c r="F11" s="11"/>
    </row>
    <row r="12" ht="27" spans="1:6">
      <c r="A12" s="10">
        <v>45870</v>
      </c>
      <c r="B12" s="11" t="s">
        <v>21</v>
      </c>
      <c r="C12" s="32" t="s">
        <v>23</v>
      </c>
      <c r="D12" s="33">
        <v>829.6</v>
      </c>
      <c r="E12" s="13" t="s">
        <v>9</v>
      </c>
      <c r="F12" s="11"/>
    </row>
    <row r="13" spans="1:6">
      <c r="A13" s="10">
        <v>45870</v>
      </c>
      <c r="B13" s="11" t="s">
        <v>24</v>
      </c>
      <c r="C13" s="11" t="s">
        <v>25</v>
      </c>
      <c r="D13" s="33">
        <v>120</v>
      </c>
      <c r="E13" s="13" t="s">
        <v>9</v>
      </c>
      <c r="F13" s="11"/>
    </row>
    <row r="14" spans="1:6">
      <c r="A14" s="10">
        <v>45901</v>
      </c>
      <c r="B14" s="11" t="s">
        <v>26</v>
      </c>
      <c r="C14" s="11" t="s">
        <v>27</v>
      </c>
      <c r="D14" s="33">
        <v>169.54</v>
      </c>
      <c r="E14" s="13" t="s">
        <v>9</v>
      </c>
      <c r="F14" s="11"/>
    </row>
    <row r="15" spans="1:6">
      <c r="A15" s="10">
        <v>45901</v>
      </c>
      <c r="B15" s="11" t="s">
        <v>28</v>
      </c>
      <c r="C15" s="32" t="s">
        <v>29</v>
      </c>
      <c r="D15" s="33">
        <v>210.1</v>
      </c>
      <c r="E15" s="13" t="s">
        <v>9</v>
      </c>
      <c r="F15" s="11"/>
    </row>
    <row r="16" spans="1:6">
      <c r="A16" s="10">
        <v>45901</v>
      </c>
      <c r="B16" s="31" t="s">
        <v>28</v>
      </c>
      <c r="C16" s="31" t="s">
        <v>30</v>
      </c>
      <c r="D16" s="34">
        <v>3155</v>
      </c>
      <c r="E16" s="13" t="s">
        <v>15</v>
      </c>
      <c r="F16" s="11"/>
    </row>
    <row r="17" spans="1:6">
      <c r="A17" s="10">
        <v>45931</v>
      </c>
      <c r="B17" s="35" t="s">
        <v>31</v>
      </c>
      <c r="C17" s="36" t="s">
        <v>32</v>
      </c>
      <c r="D17" s="37">
        <v>6850</v>
      </c>
      <c r="E17" s="13" t="s">
        <v>33</v>
      </c>
      <c r="F17" s="38"/>
    </row>
    <row r="18" ht="27" spans="1:6">
      <c r="A18" s="10">
        <v>45931</v>
      </c>
      <c r="B18" s="35" t="s">
        <v>34</v>
      </c>
      <c r="C18" s="36" t="s">
        <v>35</v>
      </c>
      <c r="D18" s="33">
        <v>997.49</v>
      </c>
      <c r="E18" s="13" t="s">
        <v>9</v>
      </c>
      <c r="F18" s="38"/>
    </row>
    <row r="19" spans="1:6">
      <c r="A19" s="10">
        <v>45931</v>
      </c>
      <c r="B19" s="35" t="s">
        <v>34</v>
      </c>
      <c r="C19" s="39" t="s">
        <v>36</v>
      </c>
      <c r="D19" s="40">
        <v>15168</v>
      </c>
      <c r="E19" s="13" t="s">
        <v>9</v>
      </c>
      <c r="F19" s="38"/>
    </row>
    <row r="20" spans="1:6">
      <c r="A20" s="10">
        <v>45931</v>
      </c>
      <c r="B20" s="35" t="s">
        <v>34</v>
      </c>
      <c r="C20" s="39" t="s">
        <v>32</v>
      </c>
      <c r="D20" s="40">
        <v>23548</v>
      </c>
      <c r="E20" s="13" t="s">
        <v>33</v>
      </c>
      <c r="F20" s="41"/>
    </row>
    <row r="21" spans="1:6">
      <c r="A21" s="10">
        <v>45931</v>
      </c>
      <c r="B21" s="35" t="s">
        <v>34</v>
      </c>
      <c r="C21" s="39" t="s">
        <v>37</v>
      </c>
      <c r="D21" s="40">
        <v>3000</v>
      </c>
      <c r="E21" s="13" t="s">
        <v>38</v>
      </c>
      <c r="F21" s="41"/>
    </row>
    <row r="22" spans="1:6">
      <c r="A22" s="10">
        <v>45931</v>
      </c>
      <c r="B22" s="42" t="s">
        <v>39</v>
      </c>
      <c r="C22" s="18" t="s">
        <v>40</v>
      </c>
      <c r="D22" s="40">
        <v>767</v>
      </c>
      <c r="E22" s="13" t="s">
        <v>9</v>
      </c>
      <c r="F22" s="11"/>
    </row>
    <row r="23" spans="1:6">
      <c r="A23" s="10">
        <v>45931</v>
      </c>
      <c r="B23" s="42" t="s">
        <v>39</v>
      </c>
      <c r="C23" s="18" t="s">
        <v>41</v>
      </c>
      <c r="D23" s="40">
        <v>6802</v>
      </c>
      <c r="E23" s="13" t="s">
        <v>9</v>
      </c>
      <c r="F23" s="38"/>
    </row>
    <row r="24" spans="1:6">
      <c r="A24" s="10">
        <v>45931</v>
      </c>
      <c r="B24" s="42" t="s">
        <v>39</v>
      </c>
      <c r="C24" s="18" t="s">
        <v>42</v>
      </c>
      <c r="D24" s="40">
        <v>9347.6</v>
      </c>
      <c r="E24" s="13" t="s">
        <v>33</v>
      </c>
      <c r="F24" s="11"/>
    </row>
    <row r="25" spans="1:6">
      <c r="A25" s="10">
        <v>45931</v>
      </c>
      <c r="B25" s="42" t="s">
        <v>43</v>
      </c>
      <c r="C25" s="18" t="s">
        <v>44</v>
      </c>
      <c r="D25" s="40">
        <v>3529.69</v>
      </c>
      <c r="E25" s="13" t="s">
        <v>33</v>
      </c>
      <c r="F25" s="11"/>
    </row>
    <row r="26" spans="1:6">
      <c r="A26" s="10">
        <v>45931</v>
      </c>
      <c r="B26" s="42" t="s">
        <v>43</v>
      </c>
      <c r="C26" s="18" t="s">
        <v>45</v>
      </c>
      <c r="D26" s="40">
        <v>2000</v>
      </c>
      <c r="E26" s="13" t="s">
        <v>11</v>
      </c>
      <c r="F26" s="11"/>
    </row>
    <row r="27" spans="1:6">
      <c r="A27" s="10">
        <v>45931</v>
      </c>
      <c r="B27" s="42" t="s">
        <v>43</v>
      </c>
      <c r="C27" s="18" t="s">
        <v>37</v>
      </c>
      <c r="D27" s="40">
        <v>900</v>
      </c>
      <c r="E27" s="13" t="s">
        <v>38</v>
      </c>
      <c r="F27" s="11"/>
    </row>
    <row r="28" spans="1:6">
      <c r="A28" s="10">
        <v>45931</v>
      </c>
      <c r="B28" s="42" t="s">
        <v>43</v>
      </c>
      <c r="C28" s="18" t="s">
        <v>46</v>
      </c>
      <c r="D28" s="40">
        <v>80.55</v>
      </c>
      <c r="E28" s="13" t="s">
        <v>9</v>
      </c>
      <c r="F28" s="11"/>
    </row>
    <row r="29" spans="1:6">
      <c r="A29" s="10">
        <v>45931</v>
      </c>
      <c r="B29" s="42" t="s">
        <v>43</v>
      </c>
      <c r="C29" s="18" t="s">
        <v>47</v>
      </c>
      <c r="D29" s="40">
        <v>756.2</v>
      </c>
      <c r="E29" s="13" t="s">
        <v>9</v>
      </c>
      <c r="F29" s="11"/>
    </row>
    <row r="30" spans="1:6">
      <c r="A30" s="10">
        <v>45931</v>
      </c>
      <c r="B30" s="42" t="s">
        <v>43</v>
      </c>
      <c r="C30" s="18" t="s">
        <v>48</v>
      </c>
      <c r="D30" s="40">
        <v>455</v>
      </c>
      <c r="E30" s="13" t="s">
        <v>33</v>
      </c>
      <c r="F30" s="11"/>
    </row>
    <row r="31" spans="1:6">
      <c r="A31" s="10">
        <v>45931</v>
      </c>
      <c r="B31" s="42" t="s">
        <v>49</v>
      </c>
      <c r="C31" s="18" t="s">
        <v>50</v>
      </c>
      <c r="D31" s="40">
        <v>6000</v>
      </c>
      <c r="E31" s="13" t="s">
        <v>15</v>
      </c>
      <c r="F31" s="11"/>
    </row>
    <row r="32" spans="1:6">
      <c r="A32" s="10">
        <v>45931</v>
      </c>
      <c r="B32" s="42" t="s">
        <v>49</v>
      </c>
      <c r="C32" s="18" t="s">
        <v>51</v>
      </c>
      <c r="D32" s="40">
        <v>625</v>
      </c>
      <c r="E32" s="13" t="s">
        <v>15</v>
      </c>
      <c r="F32" s="11"/>
    </row>
    <row r="33" s="26" customFormat="1" spans="1:6">
      <c r="A33" s="43">
        <v>45931</v>
      </c>
      <c r="B33" s="44" t="s">
        <v>49</v>
      </c>
      <c r="C33" s="45" t="s">
        <v>52</v>
      </c>
      <c r="D33" s="46">
        <v>2030.1</v>
      </c>
      <c r="E33" s="47" t="s">
        <v>53</v>
      </c>
      <c r="F33" s="48"/>
    </row>
    <row r="34" spans="1:6">
      <c r="A34" s="10">
        <v>45962</v>
      </c>
      <c r="B34" s="42" t="s">
        <v>54</v>
      </c>
      <c r="C34" s="18" t="s">
        <v>55</v>
      </c>
      <c r="D34" s="40">
        <v>4721.87</v>
      </c>
      <c r="E34" s="13" t="s">
        <v>33</v>
      </c>
      <c r="F34" s="11"/>
    </row>
    <row r="35" spans="1:6">
      <c r="A35" s="10">
        <v>45962</v>
      </c>
      <c r="B35" s="42" t="s">
        <v>54</v>
      </c>
      <c r="C35" s="18" t="s">
        <v>56</v>
      </c>
      <c r="D35" s="40">
        <v>438.6</v>
      </c>
      <c r="E35" s="13" t="s">
        <v>9</v>
      </c>
      <c r="F35" s="11"/>
    </row>
    <row r="36" s="27" customFormat="1" spans="1:6">
      <c r="A36" s="10">
        <v>45962</v>
      </c>
      <c r="B36" s="49" t="s">
        <v>57</v>
      </c>
      <c r="C36" s="50" t="s">
        <v>58</v>
      </c>
      <c r="D36" s="51">
        <v>11060</v>
      </c>
      <c r="E36" s="13" t="s">
        <v>33</v>
      </c>
      <c r="F36" s="52"/>
    </row>
    <row r="37" s="28" customFormat="1" spans="1:6">
      <c r="A37" s="43">
        <v>45962</v>
      </c>
      <c r="B37" s="53" t="s">
        <v>59</v>
      </c>
      <c r="C37" s="45" t="s">
        <v>60</v>
      </c>
      <c r="D37" s="46">
        <v>46111.94</v>
      </c>
      <c r="E37" s="47" t="s">
        <v>53</v>
      </c>
      <c r="F37" s="48"/>
    </row>
    <row r="38" s="27" customFormat="1" spans="1:6">
      <c r="A38" s="10">
        <v>45992</v>
      </c>
      <c r="B38" s="54" t="s">
        <v>61</v>
      </c>
      <c r="C38" s="50" t="s">
        <v>62</v>
      </c>
      <c r="D38" s="55">
        <v>31400</v>
      </c>
      <c r="E38" s="13" t="s">
        <v>63</v>
      </c>
      <c r="F38" s="52"/>
    </row>
    <row r="39" s="27" customFormat="1" ht="29" customHeight="1" spans="1:6">
      <c r="A39" s="10">
        <v>45992</v>
      </c>
      <c r="B39" s="54" t="s">
        <v>61</v>
      </c>
      <c r="C39" s="56" t="s">
        <v>64</v>
      </c>
      <c r="D39" s="55">
        <v>2865.22</v>
      </c>
      <c r="E39" s="13" t="s">
        <v>11</v>
      </c>
      <c r="F39" s="52"/>
    </row>
    <row r="40" s="27" customFormat="1" ht="27" spans="1:6">
      <c r="A40" s="10">
        <v>45992</v>
      </c>
      <c r="B40" s="49" t="s">
        <v>65</v>
      </c>
      <c r="C40" s="56" t="s">
        <v>66</v>
      </c>
      <c r="D40" s="55">
        <v>1297.79</v>
      </c>
      <c r="E40" s="13" t="s">
        <v>33</v>
      </c>
      <c r="F40" s="52"/>
    </row>
    <row r="41" s="27" customFormat="1" spans="1:6">
      <c r="A41" s="10">
        <v>45992</v>
      </c>
      <c r="B41" s="49" t="s">
        <v>67</v>
      </c>
      <c r="C41" s="50" t="s">
        <v>68</v>
      </c>
      <c r="D41" s="55">
        <v>3916.01</v>
      </c>
      <c r="E41" s="13" t="s">
        <v>15</v>
      </c>
      <c r="F41" s="52"/>
    </row>
    <row r="42" s="27" customFormat="1" spans="1:6">
      <c r="A42" s="10">
        <v>45992</v>
      </c>
      <c r="B42" s="49" t="s">
        <v>69</v>
      </c>
      <c r="C42" s="50" t="s">
        <v>70</v>
      </c>
      <c r="D42" s="55">
        <v>753.24</v>
      </c>
      <c r="E42" s="13" t="s">
        <v>33</v>
      </c>
      <c r="F42" s="52"/>
    </row>
    <row r="43" s="27" customFormat="1" spans="1:6">
      <c r="A43" s="10">
        <v>45992</v>
      </c>
      <c r="B43" s="49" t="s">
        <v>71</v>
      </c>
      <c r="C43" s="56" t="s">
        <v>72</v>
      </c>
      <c r="D43" s="55">
        <v>990.79</v>
      </c>
      <c r="E43" s="13" t="s">
        <v>15</v>
      </c>
      <c r="F43" s="52"/>
    </row>
    <row r="44" s="27" customFormat="1" spans="1:6">
      <c r="A44" s="10">
        <v>45992</v>
      </c>
      <c r="B44" s="54" t="s">
        <v>73</v>
      </c>
      <c r="C44" s="50" t="s">
        <v>74</v>
      </c>
      <c r="D44" s="55">
        <v>2223</v>
      </c>
      <c r="E44" s="13" t="s">
        <v>15</v>
      </c>
      <c r="F44" s="52"/>
    </row>
    <row r="45" s="27" customFormat="1" spans="1:6">
      <c r="A45" s="10">
        <v>45992</v>
      </c>
      <c r="B45" s="57"/>
      <c r="C45" s="50" t="s">
        <v>75</v>
      </c>
      <c r="D45" s="51">
        <v>8300</v>
      </c>
      <c r="E45" s="13" t="s">
        <v>38</v>
      </c>
      <c r="F45" s="52"/>
    </row>
    <row r="46" s="27" customFormat="1" spans="1:6">
      <c r="A46" s="10">
        <v>45992</v>
      </c>
      <c r="B46" s="49" t="s">
        <v>76</v>
      </c>
      <c r="C46" s="50" t="s">
        <v>77</v>
      </c>
      <c r="D46" s="51">
        <v>1030.44</v>
      </c>
      <c r="E46" s="13" t="s">
        <v>33</v>
      </c>
      <c r="F46" s="52" t="s">
        <v>78</v>
      </c>
    </row>
    <row r="47" s="28" customFormat="1" spans="1:6">
      <c r="A47" s="43">
        <v>45992</v>
      </c>
      <c r="B47" s="58" t="s">
        <v>79</v>
      </c>
      <c r="C47" s="45" t="s">
        <v>80</v>
      </c>
      <c r="D47" s="46">
        <v>61346.34</v>
      </c>
      <c r="E47" s="47" t="s">
        <v>53</v>
      </c>
      <c r="F47" s="48"/>
    </row>
    <row r="48" s="27" customFormat="1" spans="1:6">
      <c r="A48" s="10">
        <v>46023</v>
      </c>
      <c r="B48" s="49" t="s">
        <v>81</v>
      </c>
      <c r="C48" s="50" t="s">
        <v>82</v>
      </c>
      <c r="D48" s="51">
        <v>2220</v>
      </c>
      <c r="E48" s="13" t="s">
        <v>33</v>
      </c>
      <c r="F48" s="52"/>
    </row>
    <row r="49" s="27" customFormat="1" ht="27" spans="1:6">
      <c r="A49" s="10">
        <v>46023</v>
      </c>
      <c r="B49" s="49" t="s">
        <v>83</v>
      </c>
      <c r="C49" s="56" t="s">
        <v>84</v>
      </c>
      <c r="D49" s="51">
        <v>1116.5</v>
      </c>
      <c r="E49" s="13" t="s">
        <v>38</v>
      </c>
      <c r="F49" s="52"/>
    </row>
    <row r="50" s="27" customFormat="1" ht="27" spans="1:6">
      <c r="A50" s="10">
        <v>46023</v>
      </c>
      <c r="B50" s="49" t="s">
        <v>85</v>
      </c>
      <c r="C50" s="56" t="s">
        <v>86</v>
      </c>
      <c r="D50" s="51">
        <v>3686.8</v>
      </c>
      <c r="E50" s="13" t="s">
        <v>33</v>
      </c>
      <c r="F50" s="52"/>
    </row>
    <row r="51" s="28" customFormat="1" spans="1:6">
      <c r="A51" s="43">
        <v>46023</v>
      </c>
      <c r="B51" s="59" t="s">
        <v>87</v>
      </c>
      <c r="C51" s="60" t="s">
        <v>88</v>
      </c>
      <c r="D51" s="61">
        <v>14141</v>
      </c>
      <c r="E51" s="47" t="s">
        <v>38</v>
      </c>
      <c r="F51" s="48"/>
    </row>
    <row r="52" s="27" customFormat="1" spans="1:6">
      <c r="A52" s="10">
        <v>46023</v>
      </c>
      <c r="B52" s="49" t="s">
        <v>89</v>
      </c>
      <c r="C52" s="50" t="s">
        <v>90</v>
      </c>
      <c r="D52" s="51">
        <v>12247.63</v>
      </c>
      <c r="E52" s="13" t="s">
        <v>15</v>
      </c>
      <c r="F52" s="52"/>
    </row>
    <row r="53" s="27" customFormat="1" spans="1:6">
      <c r="A53" s="10">
        <v>46023</v>
      </c>
      <c r="B53" s="49" t="s">
        <v>91</v>
      </c>
      <c r="C53" s="50" t="s">
        <v>92</v>
      </c>
      <c r="D53" s="51">
        <v>13170.33</v>
      </c>
      <c r="E53" s="13" t="s">
        <v>33</v>
      </c>
      <c r="F53" s="52"/>
    </row>
    <row r="54" s="28" customFormat="1" spans="1:6">
      <c r="A54" s="43">
        <v>46023</v>
      </c>
      <c r="B54" s="58" t="s">
        <v>93</v>
      </c>
      <c r="C54" s="45" t="s">
        <v>94</v>
      </c>
      <c r="D54" s="46">
        <v>60624.94</v>
      </c>
      <c r="E54" s="47" t="s">
        <v>53</v>
      </c>
      <c r="F54" s="48"/>
    </row>
    <row r="55" s="27" customFormat="1" spans="1:6">
      <c r="A55" s="10">
        <v>46054</v>
      </c>
      <c r="B55" s="49" t="s">
        <v>95</v>
      </c>
      <c r="C55" s="50" t="s">
        <v>96</v>
      </c>
      <c r="D55" s="51">
        <v>1321.44</v>
      </c>
      <c r="E55" s="13" t="s">
        <v>15</v>
      </c>
      <c r="F55" s="52"/>
    </row>
    <row r="56" s="27" customFormat="1" spans="1:6">
      <c r="A56" s="10">
        <v>46054</v>
      </c>
      <c r="B56" s="49" t="s">
        <v>95</v>
      </c>
      <c r="C56" s="50" t="s">
        <v>38</v>
      </c>
      <c r="D56" s="51">
        <v>2480</v>
      </c>
      <c r="E56" s="13" t="s">
        <v>38</v>
      </c>
      <c r="F56" s="52"/>
    </row>
    <row r="57" s="27" customFormat="1" spans="1:6">
      <c r="A57" s="10">
        <v>46054</v>
      </c>
      <c r="B57" s="49" t="s">
        <v>95</v>
      </c>
      <c r="C57" s="50" t="s">
        <v>97</v>
      </c>
      <c r="D57" s="51">
        <v>3000</v>
      </c>
      <c r="E57" s="13" t="s">
        <v>98</v>
      </c>
      <c r="F57" s="52"/>
    </row>
    <row r="58" s="27" customFormat="1" spans="1:6">
      <c r="A58" s="10">
        <v>46054</v>
      </c>
      <c r="B58" s="49" t="s">
        <v>95</v>
      </c>
      <c r="C58" s="50" t="s">
        <v>99</v>
      </c>
      <c r="D58" s="51">
        <v>3600</v>
      </c>
      <c r="E58" s="13" t="s">
        <v>38</v>
      </c>
      <c r="F58" s="52"/>
    </row>
    <row r="59" s="27" customFormat="1" spans="1:6">
      <c r="A59" s="10">
        <v>46054</v>
      </c>
      <c r="B59" s="49" t="s">
        <v>100</v>
      </c>
      <c r="C59" s="50" t="s">
        <v>101</v>
      </c>
      <c r="D59" s="51">
        <v>2261.54</v>
      </c>
      <c r="E59" s="13" t="s">
        <v>15</v>
      </c>
      <c r="F59" s="52"/>
    </row>
    <row r="60" s="27" customFormat="1" spans="1:6">
      <c r="A60" s="10">
        <v>46054</v>
      </c>
      <c r="B60" s="49" t="s">
        <v>100</v>
      </c>
      <c r="C60" s="62" t="s">
        <v>102</v>
      </c>
      <c r="D60" s="51">
        <v>4541</v>
      </c>
      <c r="E60" s="13" t="s">
        <v>9</v>
      </c>
      <c r="F60" s="52"/>
    </row>
    <row r="61" s="27" customFormat="1" spans="1:6">
      <c r="A61" s="10">
        <v>46054</v>
      </c>
      <c r="B61" s="49" t="s">
        <v>100</v>
      </c>
      <c r="C61" s="62" t="s">
        <v>103</v>
      </c>
      <c r="D61" s="51">
        <v>1272</v>
      </c>
      <c r="E61" s="13" t="s">
        <v>38</v>
      </c>
      <c r="F61" s="52"/>
    </row>
    <row r="62" s="27" customFormat="1" spans="1:6">
      <c r="A62" s="10">
        <v>46054</v>
      </c>
      <c r="B62" s="49" t="s">
        <v>100</v>
      </c>
      <c r="C62" s="27" t="s">
        <v>104</v>
      </c>
      <c r="D62" s="51">
        <v>860</v>
      </c>
      <c r="E62" s="13" t="s">
        <v>38</v>
      </c>
      <c r="F62" s="52"/>
    </row>
    <row r="63" s="27" customFormat="1" spans="1:6">
      <c r="A63" s="10">
        <v>46054</v>
      </c>
      <c r="B63" s="49" t="s">
        <v>100</v>
      </c>
      <c r="C63" s="50" t="s">
        <v>92</v>
      </c>
      <c r="D63" s="51">
        <v>14186.81</v>
      </c>
      <c r="E63" s="13" t="s">
        <v>33</v>
      </c>
      <c r="F63" s="52"/>
    </row>
    <row r="64" s="27" customFormat="1" spans="1:6">
      <c r="A64" s="10">
        <v>46054</v>
      </c>
      <c r="B64" s="49" t="s">
        <v>105</v>
      </c>
      <c r="C64" s="50" t="s">
        <v>106</v>
      </c>
      <c r="D64" s="51">
        <v>7966.38</v>
      </c>
      <c r="E64" s="13" t="s">
        <v>98</v>
      </c>
      <c r="F64" s="52"/>
    </row>
    <row r="65" s="27" customFormat="1" spans="1:6">
      <c r="A65" s="10">
        <v>46082</v>
      </c>
      <c r="B65" s="49" t="s">
        <v>107</v>
      </c>
      <c r="C65" s="50" t="s">
        <v>108</v>
      </c>
      <c r="D65" s="51">
        <v>303.56</v>
      </c>
      <c r="E65" s="13" t="s">
        <v>9</v>
      </c>
      <c r="F65" s="52"/>
    </row>
    <row r="66" s="27" customFormat="1" spans="1:6">
      <c r="A66" s="10">
        <v>46082</v>
      </c>
      <c r="B66" s="49" t="s">
        <v>107</v>
      </c>
      <c r="C66" s="50" t="s">
        <v>109</v>
      </c>
      <c r="D66" s="51">
        <v>860</v>
      </c>
      <c r="E66" s="13" t="s">
        <v>38</v>
      </c>
      <c r="F66" s="52"/>
    </row>
    <row r="67" s="27" customFormat="1" spans="1:6">
      <c r="A67" s="10">
        <v>46082</v>
      </c>
      <c r="B67" s="49" t="s">
        <v>107</v>
      </c>
      <c r="C67" s="50" t="s">
        <v>110</v>
      </c>
      <c r="D67" s="51">
        <v>3864.08</v>
      </c>
      <c r="E67" s="13" t="s">
        <v>15</v>
      </c>
      <c r="F67" s="52"/>
    </row>
    <row r="68" s="27" customFormat="1" spans="1:6">
      <c r="A68" s="10">
        <v>46082</v>
      </c>
      <c r="B68" s="49" t="s">
        <v>107</v>
      </c>
      <c r="C68" s="50" t="s">
        <v>111</v>
      </c>
      <c r="D68" s="51">
        <v>15000</v>
      </c>
      <c r="E68" s="13" t="s">
        <v>98</v>
      </c>
      <c r="F68" s="52" t="s">
        <v>112</v>
      </c>
    </row>
    <row r="69" s="28" customFormat="1" spans="1:6">
      <c r="A69" s="43">
        <v>46082</v>
      </c>
      <c r="B69" s="59" t="s">
        <v>113</v>
      </c>
      <c r="C69" s="63" t="s">
        <v>114</v>
      </c>
      <c r="D69" s="61">
        <v>2926.25</v>
      </c>
      <c r="E69" s="47" t="s">
        <v>98</v>
      </c>
      <c r="F69" s="48"/>
    </row>
    <row r="70" s="27" customFormat="1" spans="1:6">
      <c r="A70" s="10">
        <v>46082</v>
      </c>
      <c r="B70" s="49" t="s">
        <v>115</v>
      </c>
      <c r="C70" s="56" t="s">
        <v>116</v>
      </c>
      <c r="D70" s="51">
        <v>540</v>
      </c>
      <c r="E70" s="13" t="s">
        <v>38</v>
      </c>
      <c r="F70" s="52"/>
    </row>
    <row r="71" s="27" customFormat="1" spans="1:6">
      <c r="A71" s="10">
        <v>46082</v>
      </c>
      <c r="B71" s="49" t="s">
        <v>115</v>
      </c>
      <c r="C71" s="56" t="s">
        <v>117</v>
      </c>
      <c r="D71" s="51">
        <v>778</v>
      </c>
      <c r="E71" s="13" t="s">
        <v>15</v>
      </c>
      <c r="F71" s="52"/>
    </row>
    <row r="72" s="27" customFormat="1" spans="1:6">
      <c r="A72" s="10">
        <v>46082</v>
      </c>
      <c r="B72" s="49" t="s">
        <v>115</v>
      </c>
      <c r="C72" s="56" t="s">
        <v>118</v>
      </c>
      <c r="D72" s="51">
        <v>6315.7</v>
      </c>
      <c r="E72" s="13" t="s">
        <v>11</v>
      </c>
      <c r="F72" s="52"/>
    </row>
    <row r="73" s="27" customFormat="1" spans="1:6">
      <c r="A73" s="10">
        <v>46082</v>
      </c>
      <c r="B73" s="49" t="s">
        <v>115</v>
      </c>
      <c r="C73" s="50" t="s">
        <v>119</v>
      </c>
      <c r="D73" s="51">
        <v>10000</v>
      </c>
      <c r="E73" s="13" t="s">
        <v>98</v>
      </c>
      <c r="F73" s="52"/>
    </row>
    <row r="74" s="27" customFormat="1" spans="1:6">
      <c r="A74" s="10">
        <v>46082</v>
      </c>
      <c r="B74" s="49" t="s">
        <v>120</v>
      </c>
      <c r="C74" s="50" t="s">
        <v>121</v>
      </c>
      <c r="D74" s="51">
        <v>16708.54</v>
      </c>
      <c r="E74" s="13" t="s">
        <v>33</v>
      </c>
      <c r="F74" s="52" t="s">
        <v>112</v>
      </c>
    </row>
    <row r="75" s="27" customFormat="1" spans="1:6">
      <c r="A75" s="49"/>
      <c r="B75" s="49"/>
      <c r="C75" s="49"/>
      <c r="D75" s="51"/>
      <c r="E75" s="51"/>
      <c r="F75" s="52"/>
    </row>
    <row r="76" spans="1:6">
      <c r="A76" s="64"/>
      <c r="B76" s="64" t="s">
        <v>122</v>
      </c>
      <c r="C76" s="65"/>
      <c r="D76" s="66">
        <f>SUM(D3:D75)</f>
        <v>506027.42</v>
      </c>
      <c r="E76" s="66"/>
      <c r="F76" s="11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2:F74" etc:filterBottomFollowUsedRange="0">
    <extLst/>
  </autoFilter>
  <mergeCells count="3">
    <mergeCell ref="B1:D1"/>
    <mergeCell ref="B76:C76"/>
    <mergeCell ref="B44:B45"/>
  </mergeCells>
  <dataValidations count="1">
    <dataValidation type="list" allowBlank="1" showInputMessage="1" showErrorMessage="1" sqref="E33 E37 E47 E54 E3:E32 E34:E36 E38:E46 E48:E53 E55:E73">
      <formula1>费用类别!$B$2:$B$12</formula1>
    </dataValidation>
  </dataValidations>
  <pageMargins left="0.75" right="0.75" top="1" bottom="1" header="0.5" footer="0.5"/>
  <pageSetup paperSize="9" orientation="portrait"/>
  <headerFooter/>
  <ignoredErrors>
    <ignoredError sqref="B48:F48 B38:F38 C1:F1 E2:F2 B3:D3 F3 B4:F4 B5:D5 F5 B6:F6 B7:D7 F7 B8:F11 B12:D15 F12:F15 B16:F17 C19:D19 B18:D18 F18:F19 C21:D21 C20:F20 C23:D23 B22:D22 F21:F23 C26:F26 B25:F25 C24:F24 C27:D29 F27:F29 B34:F34 C32:F32 B31:F31 C30:F30 C35:D35 F35 B40:F44 C39:F39 B36:F36 B45:D45 F45 B46:F46 D49 B49 F49 D55:F55 B50:F50 B57:D58 D56 B55:B56 F56:F58 B59:F59 B60:D62 F60:F62 B63:F63 B65:D66 D64 B64 F64:F66 B67:F67 D70 B70 B68:D68 F68 B71:F72 B73:D73 F73 B75:F76 B52:F53 F70" listDataValidation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3"/>
  <sheetViews>
    <sheetView topLeftCell="A22" workbookViewId="0">
      <selection activeCell="B28" sqref="$A28:$XFD28"/>
    </sheetView>
  </sheetViews>
  <sheetFormatPr defaultColWidth="9" defaultRowHeight="13.5"/>
  <cols>
    <col min="1" max="1" width="11.5" customWidth="1"/>
    <col min="2" max="2" width="13.625" customWidth="1"/>
    <col min="3" max="3" width="37" customWidth="1"/>
    <col min="4" max="4" width="40.0666666666667" customWidth="1"/>
    <col min="5" max="8" width="18.2583333333333" customWidth="1"/>
  </cols>
  <sheetData>
    <row r="1" ht="20.25" spans="1:10">
      <c r="B1" s="2" t="s">
        <v>123</v>
      </c>
      <c r="C1" s="3"/>
      <c r="D1" s="3"/>
      <c r="E1" s="4"/>
      <c r="F1" s="5"/>
      <c r="G1" s="5"/>
      <c r="H1" s="5"/>
      <c r="I1" s="6"/>
      <c r="J1" s="6"/>
    </row>
    <row r="2" ht="15" customHeight="1" spans="1:10">
      <c r="A2" s="7" t="s">
        <v>1</v>
      </c>
      <c r="B2" s="7" t="s">
        <v>2</v>
      </c>
      <c r="C2" s="7" t="s">
        <v>124</v>
      </c>
      <c r="D2" s="8" t="s">
        <v>3</v>
      </c>
      <c r="E2" s="9" t="s">
        <v>4</v>
      </c>
      <c r="F2" s="9" t="s">
        <v>5</v>
      </c>
      <c r="G2" s="7" t="s">
        <v>6</v>
      </c>
    </row>
    <row r="3" ht="15" customHeight="1" spans="1:10">
      <c r="A3" s="10">
        <v>45962</v>
      </c>
      <c r="B3" s="11" t="s">
        <v>125</v>
      </c>
      <c r="C3" s="11" t="s">
        <v>126</v>
      </c>
      <c r="D3" s="11" t="s">
        <v>127</v>
      </c>
      <c r="E3" s="12">
        <v>31400</v>
      </c>
      <c r="F3" s="13" t="s">
        <v>63</v>
      </c>
      <c r="G3" s="13"/>
    </row>
    <row r="4" ht="15" customHeight="1" spans="1:10">
      <c r="A4" s="10">
        <v>45962</v>
      </c>
      <c r="B4" s="11" t="s">
        <v>128</v>
      </c>
      <c r="C4" s="11" t="s">
        <v>126</v>
      </c>
      <c r="D4" s="11" t="s">
        <v>129</v>
      </c>
      <c r="E4" s="12">
        <v>22050</v>
      </c>
      <c r="F4" s="13" t="s">
        <v>63</v>
      </c>
      <c r="G4" s="13"/>
    </row>
    <row r="5" ht="15" customHeight="1" spans="1:10">
      <c r="A5" s="10">
        <v>45962</v>
      </c>
      <c r="B5" s="11" t="s">
        <v>128</v>
      </c>
      <c r="C5" s="11" t="s">
        <v>130</v>
      </c>
      <c r="D5" s="11" t="s">
        <v>131</v>
      </c>
      <c r="E5" s="12">
        <v>34500</v>
      </c>
      <c r="F5" s="13" t="s">
        <v>63</v>
      </c>
      <c r="G5" s="13"/>
    </row>
    <row r="6" ht="15" customHeight="1" spans="1:10">
      <c r="A6" s="10">
        <v>45992</v>
      </c>
      <c r="B6" s="11" t="s">
        <v>61</v>
      </c>
      <c r="C6" s="11" t="s">
        <v>126</v>
      </c>
      <c r="D6" s="11" t="s">
        <v>132</v>
      </c>
      <c r="E6" s="12">
        <v>29400</v>
      </c>
      <c r="F6" s="13" t="s">
        <v>63</v>
      </c>
      <c r="G6" s="13"/>
    </row>
    <row r="7" ht="15" customHeight="1" spans="1:10">
      <c r="A7" s="10">
        <v>45992</v>
      </c>
      <c r="B7" s="11" t="s">
        <v>133</v>
      </c>
      <c r="C7" s="11" t="s">
        <v>126</v>
      </c>
      <c r="D7" s="11" t="s">
        <v>134</v>
      </c>
      <c r="E7" s="12">
        <v>22050</v>
      </c>
      <c r="F7" s="13" t="s">
        <v>63</v>
      </c>
      <c r="G7" s="13"/>
    </row>
    <row r="8" ht="15" customHeight="1" spans="1:10">
      <c r="A8" s="10">
        <v>45992</v>
      </c>
      <c r="B8" s="11" t="s">
        <v>67</v>
      </c>
      <c r="C8" s="11" t="s">
        <v>126</v>
      </c>
      <c r="D8" s="11" t="s">
        <v>135</v>
      </c>
      <c r="E8" s="12">
        <v>19600</v>
      </c>
      <c r="F8" s="13" t="s">
        <v>63</v>
      </c>
      <c r="G8" s="13"/>
      <c r="J8" s="14"/>
    </row>
    <row r="9" ht="15" customHeight="1" spans="1:10">
      <c r="A9" s="10">
        <v>45992</v>
      </c>
      <c r="B9" s="11" t="s">
        <v>136</v>
      </c>
      <c r="C9" s="11" t="s">
        <v>126</v>
      </c>
      <c r="D9" s="11" t="s">
        <v>137</v>
      </c>
      <c r="E9" s="12">
        <v>34050</v>
      </c>
      <c r="F9" s="13" t="s">
        <v>63</v>
      </c>
      <c r="G9" s="13"/>
    </row>
    <row r="10" ht="15" customHeight="1" spans="1:10">
      <c r="A10" s="10">
        <v>45992</v>
      </c>
      <c r="B10" s="11" t="s">
        <v>138</v>
      </c>
      <c r="C10" s="11" t="s">
        <v>130</v>
      </c>
      <c r="D10" s="11" t="s">
        <v>139</v>
      </c>
      <c r="E10" s="12">
        <v>48300</v>
      </c>
      <c r="F10" s="13" t="s">
        <v>63</v>
      </c>
      <c r="G10" s="13"/>
    </row>
    <row r="11" ht="15" customHeight="1" spans="1:10">
      <c r="A11" s="10">
        <v>45992</v>
      </c>
      <c r="B11" s="11" t="s">
        <v>138</v>
      </c>
      <c r="C11" s="11" t="s">
        <v>140</v>
      </c>
      <c r="D11" s="11" t="s">
        <v>141</v>
      </c>
      <c r="E11" s="12">
        <v>32710</v>
      </c>
      <c r="F11" s="13" t="s">
        <v>63</v>
      </c>
      <c r="G11" s="13"/>
    </row>
    <row r="12" ht="15" customHeight="1" spans="1:10">
      <c r="A12" s="10">
        <v>45992</v>
      </c>
      <c r="B12" s="11" t="s">
        <v>142</v>
      </c>
      <c r="C12" s="11" t="s">
        <v>126</v>
      </c>
      <c r="D12" s="11" t="s">
        <v>143</v>
      </c>
      <c r="E12" s="12">
        <v>31800</v>
      </c>
      <c r="F12" s="13" t="s">
        <v>63</v>
      </c>
      <c r="G12" s="13"/>
    </row>
    <row r="13" ht="15" customHeight="1" spans="1:10">
      <c r="A13" s="10">
        <v>45992</v>
      </c>
      <c r="B13" s="11" t="s">
        <v>144</v>
      </c>
      <c r="C13" s="11" t="s">
        <v>126</v>
      </c>
      <c r="D13" s="11" t="s">
        <v>145</v>
      </c>
      <c r="E13" s="12">
        <v>22050</v>
      </c>
      <c r="F13" s="13" t="s">
        <v>63</v>
      </c>
      <c r="G13" s="13"/>
    </row>
    <row r="14" ht="15" customHeight="1" spans="1:10">
      <c r="A14" s="10">
        <v>45992</v>
      </c>
      <c r="B14" s="11" t="s">
        <v>146</v>
      </c>
      <c r="C14" s="11" t="s">
        <v>147</v>
      </c>
      <c r="D14" s="11" t="s">
        <v>148</v>
      </c>
      <c r="E14" s="12">
        <v>6981</v>
      </c>
      <c r="F14" s="13" t="s">
        <v>63</v>
      </c>
      <c r="G14" s="13"/>
    </row>
    <row r="15" ht="15" customHeight="1" spans="1:10">
      <c r="A15" s="10">
        <v>46023</v>
      </c>
      <c r="B15" s="11" t="s">
        <v>81</v>
      </c>
      <c r="C15" s="11" t="s">
        <v>126</v>
      </c>
      <c r="D15" s="11" t="s">
        <v>149</v>
      </c>
      <c r="E15" s="12">
        <v>14700</v>
      </c>
      <c r="F15" s="13" t="s">
        <v>63</v>
      </c>
      <c r="G15" s="13"/>
    </row>
    <row r="16" ht="15" customHeight="1" spans="1:10">
      <c r="A16" s="10">
        <v>46023</v>
      </c>
      <c r="B16" s="11" t="s">
        <v>150</v>
      </c>
      <c r="C16" s="11" t="s">
        <v>126</v>
      </c>
      <c r="D16" s="11" t="s">
        <v>151</v>
      </c>
      <c r="E16" s="12">
        <v>26400</v>
      </c>
      <c r="F16" s="13" t="s">
        <v>63</v>
      </c>
      <c r="G16" s="13"/>
    </row>
    <row r="17" ht="15" customHeight="1" spans="1:7">
      <c r="A17" s="10">
        <v>46023</v>
      </c>
      <c r="B17" s="11" t="s">
        <v>81</v>
      </c>
      <c r="C17" s="11" t="s">
        <v>152</v>
      </c>
      <c r="D17" s="11" t="s">
        <v>153</v>
      </c>
      <c r="E17" s="12">
        <v>2450.21</v>
      </c>
      <c r="F17" s="13" t="s">
        <v>63</v>
      </c>
      <c r="G17" s="13"/>
    </row>
    <row r="18" ht="15" customHeight="1" spans="1:7">
      <c r="A18" s="10">
        <v>46023</v>
      </c>
      <c r="B18" s="11" t="s">
        <v>150</v>
      </c>
      <c r="C18" s="11" t="s">
        <v>126</v>
      </c>
      <c r="D18" s="11" t="s">
        <v>154</v>
      </c>
      <c r="E18" s="12">
        <v>40800</v>
      </c>
      <c r="F18" s="13" t="s">
        <v>63</v>
      </c>
      <c r="G18" s="13"/>
    </row>
    <row r="19" ht="15" customHeight="1" spans="1:7">
      <c r="A19" s="10">
        <v>46023</v>
      </c>
      <c r="B19" s="11" t="s">
        <v>155</v>
      </c>
      <c r="C19" s="11" t="s">
        <v>156</v>
      </c>
      <c r="D19" s="11" t="s">
        <v>79</v>
      </c>
      <c r="E19" s="12">
        <v>2533.8</v>
      </c>
      <c r="F19" s="13" t="s">
        <v>63</v>
      </c>
      <c r="G19" s="13"/>
    </row>
    <row r="20" ht="15" customHeight="1" spans="1:7">
      <c r="A20" s="10">
        <v>46023</v>
      </c>
      <c r="B20" s="11" t="s">
        <v>157</v>
      </c>
      <c r="C20" s="11" t="s">
        <v>130</v>
      </c>
      <c r="D20" s="11" t="s">
        <v>158</v>
      </c>
      <c r="E20" s="12">
        <v>62100</v>
      </c>
      <c r="F20" s="13" t="s">
        <v>63</v>
      </c>
      <c r="G20" s="13"/>
    </row>
    <row r="21" ht="15" customHeight="1" spans="1:7">
      <c r="A21" s="10">
        <v>46023</v>
      </c>
      <c r="B21" s="11" t="s">
        <v>159</v>
      </c>
      <c r="C21" s="11" t="s">
        <v>126</v>
      </c>
      <c r="D21" s="11" t="s">
        <v>160</v>
      </c>
      <c r="E21" s="12">
        <v>57600</v>
      </c>
      <c r="F21" s="13" t="s">
        <v>63</v>
      </c>
      <c r="G21" s="13"/>
    </row>
    <row r="22" ht="15" customHeight="1" spans="1:7">
      <c r="A22" s="10">
        <v>46023</v>
      </c>
      <c r="B22" s="11" t="s">
        <v>159</v>
      </c>
      <c r="C22" s="11" t="s">
        <v>147</v>
      </c>
      <c r="D22" s="11" t="s">
        <v>158</v>
      </c>
      <c r="E22" s="12">
        <v>44049</v>
      </c>
      <c r="F22" s="13" t="s">
        <v>63</v>
      </c>
      <c r="G22" s="13"/>
    </row>
    <row r="23" ht="15" customHeight="1" spans="1:7">
      <c r="A23" s="10">
        <v>46023</v>
      </c>
      <c r="B23" s="11" t="s">
        <v>161</v>
      </c>
      <c r="C23" s="15" t="s">
        <v>126</v>
      </c>
      <c r="D23" s="15" t="s">
        <v>162</v>
      </c>
      <c r="E23" s="16">
        <v>52900</v>
      </c>
      <c r="F23" s="13" t="s">
        <v>63</v>
      </c>
      <c r="G23" s="13">
        <v>2300</v>
      </c>
    </row>
    <row r="24" ht="15" customHeight="1" spans="1:7">
      <c r="A24" s="10">
        <v>46023</v>
      </c>
      <c r="B24" s="11" t="s">
        <v>163</v>
      </c>
      <c r="C24" s="11" t="s">
        <v>140</v>
      </c>
      <c r="D24" s="11" t="s">
        <v>164</v>
      </c>
      <c r="E24" s="12">
        <v>53420</v>
      </c>
      <c r="F24" s="13" t="s">
        <v>63</v>
      </c>
      <c r="G24" s="13"/>
    </row>
    <row r="25" ht="15" customHeight="1" spans="1:7">
      <c r="A25" s="10">
        <v>46023</v>
      </c>
      <c r="B25" s="11" t="s">
        <v>159</v>
      </c>
      <c r="C25" s="11" t="s">
        <v>147</v>
      </c>
      <c r="D25" s="11" t="s">
        <v>165</v>
      </c>
      <c r="E25" s="12">
        <v>65233.5</v>
      </c>
      <c r="F25" s="13" t="s">
        <v>63</v>
      </c>
      <c r="G25" s="13"/>
    </row>
    <row r="26" ht="15" customHeight="1" spans="1:7">
      <c r="A26" s="10">
        <v>46023</v>
      </c>
      <c r="B26" s="11" t="s">
        <v>163</v>
      </c>
      <c r="C26" s="11" t="s">
        <v>166</v>
      </c>
      <c r="D26" s="11" t="s">
        <v>167</v>
      </c>
      <c r="E26" s="12">
        <v>11396.5</v>
      </c>
      <c r="F26" s="13" t="s">
        <v>63</v>
      </c>
      <c r="G26" s="13"/>
    </row>
    <row r="27" ht="15" customHeight="1" spans="1:7">
      <c r="A27" s="10">
        <v>46054</v>
      </c>
      <c r="B27" s="11" t="s">
        <v>95</v>
      </c>
      <c r="C27" s="11" t="s">
        <v>126</v>
      </c>
      <c r="D27" s="11" t="s">
        <v>168</v>
      </c>
      <c r="E27" s="12">
        <v>62400</v>
      </c>
      <c r="F27" s="13" t="s">
        <v>63</v>
      </c>
      <c r="G27" s="13"/>
    </row>
    <row r="28" ht="15" customHeight="1" spans="1:7">
      <c r="A28" s="10">
        <v>46054</v>
      </c>
      <c r="B28" s="11" t="s">
        <v>169</v>
      </c>
      <c r="C28" s="11" t="s">
        <v>156</v>
      </c>
      <c r="D28" s="11" t="s">
        <v>170</v>
      </c>
      <c r="E28" s="12">
        <v>70956.7</v>
      </c>
      <c r="F28" s="13" t="s">
        <v>63</v>
      </c>
      <c r="G28" s="13"/>
    </row>
    <row r="29" ht="15" customHeight="1" spans="1:7">
      <c r="A29" s="10">
        <v>46054</v>
      </c>
      <c r="B29" s="11" t="s">
        <v>169</v>
      </c>
      <c r="C29" s="11" t="s">
        <v>126</v>
      </c>
      <c r="D29" s="11" t="s">
        <v>171</v>
      </c>
      <c r="E29" s="12">
        <v>43200</v>
      </c>
      <c r="F29" s="13" t="s">
        <v>63</v>
      </c>
      <c r="G29" s="13"/>
    </row>
    <row r="30" ht="15" customHeight="1" spans="1:7">
      <c r="A30" s="10">
        <v>46054</v>
      </c>
      <c r="B30" s="11" t="s">
        <v>172</v>
      </c>
      <c r="C30" s="11" t="s">
        <v>173</v>
      </c>
      <c r="D30" s="11" t="s">
        <v>174</v>
      </c>
      <c r="E30" s="17">
        <v>4421.2</v>
      </c>
      <c r="F30" s="13" t="s">
        <v>175</v>
      </c>
      <c r="G30" s="13" t="s">
        <v>176</v>
      </c>
    </row>
    <row r="31" ht="15" customHeight="1" spans="1:7">
      <c r="A31" s="10">
        <v>46082</v>
      </c>
      <c r="B31" s="11" t="s">
        <v>115</v>
      </c>
      <c r="C31" s="18" t="s">
        <v>177</v>
      </c>
      <c r="D31" s="18" t="s">
        <v>178</v>
      </c>
      <c r="E31" s="19">
        <v>116724.8</v>
      </c>
      <c r="F31" s="13" t="s">
        <v>63</v>
      </c>
      <c r="G31" s="13"/>
    </row>
    <row r="32" ht="15" customHeight="1" spans="1:7">
      <c r="A32" s="10">
        <v>46082</v>
      </c>
      <c r="B32" s="11" t="s">
        <v>115</v>
      </c>
      <c r="C32" s="18" t="s">
        <v>126</v>
      </c>
      <c r="D32" s="18" t="s">
        <v>179</v>
      </c>
      <c r="E32" s="19">
        <v>100800</v>
      </c>
      <c r="F32" s="13" t="s">
        <v>63</v>
      </c>
      <c r="G32" s="13"/>
    </row>
    <row r="33" ht="15" customHeight="1" spans="1:7">
      <c r="A33" s="10">
        <v>46082</v>
      </c>
      <c r="B33" s="20" t="s">
        <v>180</v>
      </c>
      <c r="C33" s="18" t="s">
        <v>126</v>
      </c>
      <c r="D33" s="18" t="s">
        <v>181</v>
      </c>
      <c r="E33" s="21">
        <v>36000</v>
      </c>
      <c r="F33" s="13" t="s">
        <v>63</v>
      </c>
      <c r="G33" s="13"/>
    </row>
    <row r="34" ht="15" customHeight="1" spans="1:7">
      <c r="A34" s="10">
        <v>46082</v>
      </c>
      <c r="B34" s="20" t="s">
        <v>180</v>
      </c>
      <c r="C34" s="18" t="s">
        <v>147</v>
      </c>
      <c r="D34" s="18" t="s">
        <v>182</v>
      </c>
      <c r="E34" s="21">
        <v>125505</v>
      </c>
      <c r="F34" s="13" t="s">
        <v>63</v>
      </c>
      <c r="G34" s="13"/>
    </row>
    <row r="35" ht="15" customHeight="1" spans="1:7">
      <c r="A35" s="10"/>
      <c r="B35" s="11"/>
      <c r="C35" s="22"/>
      <c r="D35" s="23"/>
      <c r="E35" s="24"/>
      <c r="F35" s="25"/>
      <c r="G35" s="13"/>
    </row>
    <row r="36" ht="15" customHeight="1" spans="1:7">
      <c r="A36" s="10"/>
      <c r="B36" s="11"/>
      <c r="C36" s="22"/>
      <c r="D36" s="23"/>
      <c r="E36" s="24"/>
      <c r="F36" s="25"/>
    </row>
    <row r="37" ht="15" customHeight="1" spans="1:7">
      <c r="A37" s="10"/>
      <c r="B37" s="11"/>
      <c r="C37" s="22" t="s">
        <v>122</v>
      </c>
      <c r="D37" s="23"/>
      <c r="E37" s="24">
        <f>SUM(E3:E29)</f>
        <v>945030.71</v>
      </c>
      <c r="F37" s="25"/>
    </row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</sheetData>
  <sheetProtection formatCells="0" formatColumns="0" formatRows="0" insertRows="0" insertColumns="0" insertHyperlinks="0" deleteColumns="0" deleteRows="0" sort="0" autoFilter="0" pivotTables="0"/>
  <mergeCells count="3">
    <mergeCell ref="B1:E1"/>
    <mergeCell ref="G1:H1"/>
    <mergeCell ref="C37:D37"/>
  </mergeCells>
  <dataValidations count="1">
    <dataValidation type="list" allowBlank="1" showInputMessage="1" showErrorMessage="1" sqref="F3:F34">
      <formula1>费用类别!$B$2:$B$12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C12"/>
  <sheetViews>
    <sheetView zoomScale="150" zoomScaleNormal="150" workbookViewId="0">
      <selection activeCell="F8" sqref="F8"/>
    </sheetView>
  </sheetViews>
  <sheetFormatPr defaultColWidth="9" defaultRowHeight="13.5" outlineLevelCol="2"/>
  <cols>
    <col min="2" max="2" width="16.875" customWidth="1"/>
    <col min="3" max="3" width="29.6916666666667" customWidth="1"/>
  </cols>
  <sheetData>
    <row r="1" spans="2:3">
      <c r="B1" t="s">
        <v>5</v>
      </c>
      <c r="C1" t="s">
        <v>183</v>
      </c>
    </row>
    <row r="2" spans="2:3">
      <c r="B2" t="s">
        <v>33</v>
      </c>
      <c r="C2" t="s">
        <v>184</v>
      </c>
    </row>
    <row r="3" spans="2:3">
      <c r="B3" s="1" t="s">
        <v>38</v>
      </c>
      <c r="C3" t="s">
        <v>185</v>
      </c>
    </row>
    <row r="4" spans="2:3">
      <c r="B4" t="s">
        <v>63</v>
      </c>
      <c r="C4" t="s">
        <v>186</v>
      </c>
    </row>
    <row r="5" spans="2:3">
      <c r="B5" t="s">
        <v>175</v>
      </c>
      <c r="C5" t="s">
        <v>187</v>
      </c>
    </row>
    <row r="6" spans="2:3">
      <c r="B6" s="1" t="s">
        <v>98</v>
      </c>
      <c r="C6" t="s">
        <v>188</v>
      </c>
    </row>
    <row r="7" spans="2:3">
      <c r="B7" s="1" t="s">
        <v>53</v>
      </c>
      <c r="C7" t="s">
        <v>189</v>
      </c>
    </row>
    <row r="8" spans="2:3">
      <c r="B8" s="1" t="s">
        <v>9</v>
      </c>
      <c r="C8" t="s">
        <v>190</v>
      </c>
    </row>
    <row r="9" spans="2:3">
      <c r="B9" t="s">
        <v>11</v>
      </c>
      <c r="C9" t="s">
        <v>191</v>
      </c>
    </row>
    <row r="10" spans="2:3">
      <c r="B10" t="s">
        <v>15</v>
      </c>
      <c r="C10" t="s">
        <v>192</v>
      </c>
    </row>
    <row r="11" spans="2:3">
      <c r="B11" t="s">
        <v>193</v>
      </c>
      <c r="C11" t="s">
        <v>194</v>
      </c>
    </row>
    <row r="12" spans="2:3">
      <c r="B12" t="s">
        <v>195</v>
      </c>
      <c r="C12" t="s">
        <v>196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WWO_wpscloud_20260303154631-1e8b7c321a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费用明细表</vt:lpstr>
      <vt:lpstr>项目垃圾处理费用</vt:lpstr>
      <vt:lpstr>费用类别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mafen</dc:creator>
  <cp:lastModifiedBy>李承斌</cp:lastModifiedBy>
  <dcterms:created xsi:type="dcterms:W3CDTF">2025-09-16T11:16:00Z</dcterms:created>
  <dcterms:modified xsi:type="dcterms:W3CDTF">2026-03-11T09:07:11Z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EE698C7ED06C4450AA974AA39D5330B9_13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